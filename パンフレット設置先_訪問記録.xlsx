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記録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46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22" customWidth="1" min="4" max="4"/>
    <col width="10" customWidth="1" min="5" max="5"/>
    <col width="30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4" customWidth="1" min="12" max="12"/>
    <col width="30" customWidth="1" min="13" max="13"/>
  </cols>
  <sheetData>
    <row r="1">
      <c r="A1" s="1" t="inlineStr">
        <is>
          <t>No</t>
        </is>
      </c>
      <c r="B1" s="1" t="inlineStr">
        <is>
          <t>優先</t>
        </is>
      </c>
      <c r="C1" s="1" t="inlineStr">
        <is>
          <t>店名</t>
        </is>
      </c>
      <c r="D1" s="1" t="inlineStr">
        <is>
          <t>種類</t>
        </is>
      </c>
      <c r="E1" s="1" t="inlineStr">
        <is>
          <t>エリア</t>
        </is>
      </c>
      <c r="F1" s="1" t="inlineStr">
        <is>
          <t>住所</t>
        </is>
      </c>
      <c r="G1" s="1" t="inlineStr">
        <is>
          <t>個人店確認</t>
        </is>
      </c>
      <c r="H1" s="1" t="inlineStr">
        <is>
          <t>訪問日</t>
        </is>
      </c>
      <c r="I1" s="1" t="inlineStr">
        <is>
          <t>対応した人</t>
        </is>
      </c>
      <c r="J1" s="1" t="inlineStr">
        <is>
          <t>返事</t>
        </is>
      </c>
      <c r="K1" s="1" t="inlineStr">
        <is>
          <t>設置部数</t>
        </is>
      </c>
      <c r="L1" s="1" t="inlineStr">
        <is>
          <t>補充・撤去日</t>
        </is>
      </c>
      <c r="M1" s="1" t="inlineStr">
        <is>
          <t>メモ</t>
        </is>
      </c>
    </row>
    <row r="2">
      <c r="A2" s="2" t="n">
        <v>1</v>
      </c>
      <c r="B2" s="2" t="inlineStr">
        <is>
          <t>高</t>
        </is>
      </c>
      <c r="C2" s="2" t="inlineStr">
        <is>
          <t>POIVRIERE（ポワブリエール）</t>
        </is>
      </c>
      <c r="D2" s="2" t="inlineStr">
        <is>
          <t>洋菓子・パン</t>
        </is>
      </c>
      <c r="E2" s="2" t="inlineStr">
        <is>
          <t>千田町</t>
        </is>
      </c>
      <c r="F2" s="2" t="inlineStr">
        <is>
          <t>中区千田町1-3-24</t>
        </is>
      </c>
      <c r="G2" s="2" t="n"/>
      <c r="H2" s="2" t="n"/>
      <c r="I2" s="2" t="n"/>
      <c r="J2" s="2" t="n"/>
      <c r="K2" s="2" t="n"/>
      <c r="L2" s="2" t="n"/>
      <c r="M2" s="2" t="n"/>
    </row>
    <row r="3">
      <c r="A3" s="2" t="n">
        <v>2</v>
      </c>
      <c r="B3" s="2" t="inlineStr">
        <is>
          <t>高</t>
        </is>
      </c>
      <c r="C3" s="2" t="inlineStr">
        <is>
          <t>LAUNDRY&amp;CAFE FUCA FUCA</t>
        </is>
      </c>
      <c r="D3" s="2" t="inlineStr">
        <is>
          <t>カフェ（コインランドリー併設）</t>
        </is>
      </c>
      <c r="E3" s="2" t="inlineStr">
        <is>
          <t>千田町</t>
        </is>
      </c>
      <c r="F3" s="2" t="inlineStr">
        <is>
          <t>要確認</t>
        </is>
      </c>
      <c r="G3" s="2" t="n"/>
      <c r="H3" s="2" t="n"/>
      <c r="I3" s="2" t="n"/>
      <c r="J3" s="2" t="n"/>
      <c r="K3" s="2" t="n"/>
      <c r="L3" s="2" t="n"/>
      <c r="M3" s="2" t="n"/>
    </row>
    <row r="4">
      <c r="A4" s="2" t="n">
        <v>3</v>
      </c>
      <c r="B4" s="2" t="inlineStr">
        <is>
          <t>高</t>
        </is>
      </c>
      <c r="C4" s="2" t="inlineStr">
        <is>
          <t>ニワカフェアンドキッチン</t>
        </is>
      </c>
      <c r="D4" s="2" t="inlineStr">
        <is>
          <t>カフェ</t>
        </is>
      </c>
      <c r="E4" s="2" t="inlineStr">
        <is>
          <t>東千田町</t>
        </is>
      </c>
      <c r="F4" s="2" t="inlineStr">
        <is>
          <t>要確認</t>
        </is>
      </c>
      <c r="G4" s="2" t="n"/>
      <c r="H4" s="2" t="n"/>
      <c r="I4" s="2" t="n"/>
      <c r="J4" s="2" t="n"/>
      <c r="K4" s="2" t="n"/>
      <c r="L4" s="2" t="n"/>
      <c r="M4" s="2" t="n"/>
    </row>
    <row r="5">
      <c r="A5" s="2" t="n">
        <v>4</v>
      </c>
      <c r="B5" s="2" t="inlineStr">
        <is>
          <t>中</t>
        </is>
      </c>
      <c r="C5" s="2" t="inlineStr">
        <is>
          <t>28CAFE&amp;KITCHEN</t>
        </is>
      </c>
      <c r="D5" s="2" t="inlineStr">
        <is>
          <t>カフェ</t>
        </is>
      </c>
      <c r="E5" s="2" t="inlineStr">
        <is>
          <t>東千田町</t>
        </is>
      </c>
      <c r="F5" s="2" t="inlineStr">
        <is>
          <t>CLip HIROSHIMA 2階（ビル管理ルール要確認）</t>
        </is>
      </c>
      <c r="G5" s="2" t="n"/>
      <c r="H5" s="2" t="n"/>
      <c r="I5" s="2" t="n"/>
      <c r="J5" s="2" t="n"/>
      <c r="K5" s="2" t="n"/>
      <c r="L5" s="2" t="n"/>
      <c r="M5" s="2" t="n"/>
    </row>
    <row r="6">
      <c r="A6" s="2" t="n">
        <v>5</v>
      </c>
      <c r="B6" s="2" t="inlineStr">
        <is>
          <t>中</t>
        </is>
      </c>
      <c r="C6" s="2" t="inlineStr">
        <is>
          <t>MAPS BAKERY CAFE</t>
        </is>
      </c>
      <c r="D6" s="2" t="inlineStr">
        <is>
          <t>ベーカリーカフェ</t>
        </is>
      </c>
      <c r="E6" s="2" t="inlineStr">
        <is>
          <t>大手町</t>
        </is>
      </c>
      <c r="F6" s="2" t="inlineStr">
        <is>
          <t>中区大手町2-1-12</t>
        </is>
      </c>
      <c r="G6" s="2" t="n"/>
      <c r="H6" s="2" t="n"/>
      <c r="I6" s="2" t="n"/>
      <c r="J6" s="2" t="n"/>
      <c r="K6" s="2" t="n"/>
      <c r="L6" s="2" t="n"/>
      <c r="M6" s="2" t="n"/>
    </row>
    <row r="7">
      <c r="A7" s="2" t="n">
        <v>6</v>
      </c>
      <c r="B7" s="2" t="inlineStr">
        <is>
          <t>中</t>
        </is>
      </c>
      <c r="C7" s="2" t="inlineStr">
        <is>
          <t>ルーエ ぶらじる</t>
        </is>
      </c>
      <c r="D7" s="2" t="inlineStr">
        <is>
          <t>カフェ・ケーキ・パン</t>
        </is>
      </c>
      <c r="E7" s="2" t="inlineStr">
        <is>
          <t>大手町</t>
        </is>
      </c>
      <c r="F7" s="2" t="inlineStr">
        <is>
          <t>中区大手町5-6-11</t>
        </is>
      </c>
      <c r="G7" s="2" t="n"/>
      <c r="H7" s="2" t="n"/>
      <c r="I7" s="2" t="n"/>
      <c r="J7" s="2" t="n"/>
      <c r="K7" s="2" t="n"/>
      <c r="L7" s="2" t="n"/>
      <c r="M7" s="2" t="n"/>
    </row>
    <row r="8">
      <c r="A8" s="2" t="n">
        <v>7</v>
      </c>
      <c r="B8" s="2" t="inlineStr">
        <is>
          <t>低</t>
        </is>
      </c>
      <c r="C8" s="2" t="inlineStr">
        <is>
          <t>河内ベーカリー</t>
        </is>
      </c>
      <c r="D8" s="2" t="inlineStr">
        <is>
          <t>パン</t>
        </is>
      </c>
      <c r="E8" s="2" t="inlineStr">
        <is>
          <t>大手町</t>
        </is>
      </c>
      <c r="F8" s="2" t="inlineStr">
        <is>
          <t>要確認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2" t="n">
        <v>8</v>
      </c>
      <c r="B9" s="2" t="inlineStr">
        <is>
          <t>低</t>
        </is>
      </c>
      <c r="C9" s="2" t="inlineStr">
        <is>
          <t>バッケンモーツアルト 中島店</t>
        </is>
      </c>
      <c r="D9" s="2" t="inlineStr">
        <is>
          <t>洋菓子・パン</t>
        </is>
      </c>
      <c r="E9" s="2" t="inlineStr">
        <is>
          <t>中島町</t>
        </is>
      </c>
      <c r="F9" s="2" t="inlineStr">
        <is>
          <t>中区中島町9-3（個人店でない可能性）</t>
        </is>
      </c>
      <c r="G9" s="2" t="n"/>
      <c r="H9" s="2" t="n"/>
      <c r="I9" s="2" t="n"/>
      <c r="J9" s="2" t="n"/>
      <c r="K9" s="2" t="n"/>
      <c r="L9" s="2" t="n"/>
      <c r="M9" s="2" t="n"/>
    </row>
    <row r="10">
      <c r="A10" s="2" t="n">
        <v>9</v>
      </c>
      <c r="B10" s="2" t="inlineStr">
        <is>
          <t>低</t>
        </is>
      </c>
      <c r="C10" s="2" t="inlineStr">
        <is>
          <t>SOKO CAFÉ</t>
        </is>
      </c>
      <c r="D10" s="2" t="inlineStr">
        <is>
          <t>カフェ</t>
        </is>
      </c>
      <c r="E10" s="2" t="inlineStr">
        <is>
          <t>基町</t>
        </is>
      </c>
      <c r="F10" s="2" t="inlineStr">
        <is>
          <t>中区基町21-7-2</t>
        </is>
      </c>
      <c r="G10" s="2" t="n"/>
      <c r="H10" s="2" t="n"/>
      <c r="I10" s="2" t="n"/>
      <c r="J10" s="2" t="n"/>
      <c r="K10" s="2" t="n"/>
      <c r="L10" s="2" t="n"/>
      <c r="M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>
        <v>21</v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>
        <v>22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>
        <v>23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>
        <v>24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>
        <v>25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>
        <v>26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>
        <v>27</v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>
        <v>28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>
        <v>29</v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>
        <v>30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</sheetData>
  <dataValidations count="2">
    <dataValidation sqref="G2:G31" showDropDown="0" showInputMessage="0" showErrorMessage="0" allowBlank="1" type="list">
      <formula1>"未確認,個人店,チェーン店"</formula1>
    </dataValidation>
    <dataValidation sqref="J2:J31" showDropDown="0" showInputMessage="0" showErrorMessage="0" allowBlank="1" type="list">
      <formula1>"未訪問,設置OK,検討中,断られた"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3" t="inlineStr">
        <is>
          <t>項目</t>
        </is>
      </c>
      <c r="B1" s="3" t="inlineStr">
        <is>
          <t>件数</t>
        </is>
      </c>
    </row>
    <row r="2">
      <c r="A2" t="inlineStr">
        <is>
          <t>訪問した店舗数</t>
        </is>
      </c>
      <c r="B2">
        <f>COUNTA(訪問記録!H2:H31)</f>
        <v/>
      </c>
    </row>
    <row r="3">
      <c r="A3" t="inlineStr">
        <is>
          <t>設置できた店舗数</t>
        </is>
      </c>
      <c r="B3">
        <f>COUNTIF(訪問記録!J2:J31,"設置OK")</f>
        <v/>
      </c>
    </row>
    <row r="4">
      <c r="A4" t="inlineStr">
        <is>
          <t>設置部数の合計</t>
        </is>
      </c>
      <c r="B4">
        <f>SUM(訪問記録!K2:K31)</f>
        <v/>
      </c>
    </row>
    <row r="5">
      <c r="A5" t="inlineStr">
        <is>
          <t>断られた店舗数</t>
        </is>
      </c>
      <c r="B5">
        <f>COUNTIF(訪問記録!J2:J31,"断られた")</f>
        <v/>
      </c>
    </row>
    <row r="6">
      <c r="A6" t="inlineStr">
        <is>
          <t>問い合わせ件数（確認できた分）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2026-10-23T06:09:15Z</dcterms:created>
  <dcterms:modified xmlns:dcterms="http://purl.org/dc/terms/" xmlns:xsi="http://www.w3.org/2001/XMLSchema-instance" xsi:type="dcterms:W3CDTF">2026-10-23T06:09:15Z</dcterms:modified>
</cp:coreProperties>
</file>